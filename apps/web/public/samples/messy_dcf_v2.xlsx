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Revenue Build" sheetId="2" r:id="rId2"/>
    <sheet name="DCF" sheetId="3" r:id="rId3"/>
    <sheet name="Outpu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Line Item</v>
      </c>
      <c r="B1" t="str">
        <v>Value</v>
      </c>
      <c r="C1" t="str">
        <v>Unit</v>
      </c>
      <c r="D1" t="str">
        <v>Notes</v>
      </c>
    </row>
    <row r="3">
      <c r="A3" t="str">
        <v>Revenue Growth Rate</v>
      </c>
      <c r="B3">
        <v>0.12</v>
      </c>
      <c r="C3" t="str">
        <v>%</v>
      </c>
      <c r="D3" t="str">
        <v>Annual YoY growth applied to revenue</v>
      </c>
    </row>
    <row r="4">
      <c r="A4" t="str">
        <v>EBITDA Margin</v>
      </c>
      <c r="B4">
        <v>0.28</v>
      </c>
      <c r="C4" t="str">
        <v>%</v>
      </c>
      <c r="D4" t="str">
        <v>EBITDA as % of revenue</v>
      </c>
    </row>
    <row r="5">
      <c r="A5" t="str">
        <v>Tax Rate</v>
      </c>
      <c r="B5">
        <v>0.25</v>
      </c>
      <c r="C5" t="str">
        <v>%</v>
      </c>
      <c r="D5" t="str">
        <v>Effective corporate tax rate</v>
      </c>
    </row>
    <row r="6">
      <c r="A6" t="str">
        <v>WACC</v>
      </c>
      <c r="B6">
        <v>0.1</v>
      </c>
      <c r="C6" t="str">
        <v>%</v>
      </c>
      <c r="D6" t="str">
        <v>Weighted average cost of capital</v>
      </c>
    </row>
    <row r="7">
      <c r="A7" t="str">
        <v>Terminal Growth Rate</v>
      </c>
      <c r="B7">
        <v>0.025</v>
      </c>
      <c r="C7" t="str">
        <v>%</v>
      </c>
      <c r="D7" t="str">
        <v>Long-run perpetuity growth rate</v>
      </c>
    </row>
    <row r="8">
      <c r="A8" t="str">
        <v>Capex % of Revenue</v>
      </c>
      <c r="B8">
        <v>0.05</v>
      </c>
      <c r="C8" t="str">
        <v>%</v>
      </c>
      <c r="D8" t="str">
        <v>Maintenance + growth capex</v>
      </c>
    </row>
    <row r="9">
      <c r="A9" t="str">
        <v>NWC % of Revenue</v>
      </c>
      <c r="B9">
        <v>0.08</v>
      </c>
      <c r="C9" t="str">
        <v>%</v>
      </c>
      <c r="D9" t="str">
        <v>Net working capital as % of revenue</v>
      </c>
    </row>
    <row r="10">
      <c r="A10" t="str">
        <v>Net Debt</v>
      </c>
      <c r="B10">
        <v>12000000</v>
      </c>
      <c r="C10" t="str">
        <v>$</v>
      </c>
      <c r="D10" t="str">
        <v>Total debt less cash</v>
      </c>
    </row>
    <row r="11">
      <c r="A11" t="str">
        <v>Shares Outstanding</v>
      </c>
      <c r="B11">
        <v>25000000</v>
      </c>
      <c r="C11" t="str">
        <v>#</v>
      </c>
      <c r="D11" t="str">
        <v>Fully diluted share count</v>
      </c>
    </row>
    <row r="12">
      <c r="A12" t="str">
        <v>COGS % of Revenue</v>
      </c>
      <c r="B12">
        <v>0.38</v>
      </c>
      <c r="C12" t="str">
        <v>%</v>
      </c>
      <c r="D12" t="str">
        <v>COGS as % of revenue</v>
      </c>
    </row>
    <row r="13">
      <c r="A13" t="str">
        <v>OpEx % of Revenue</v>
      </c>
      <c r="B13">
        <v>0.34</v>
      </c>
      <c r="C13" t="str">
        <v>%</v>
      </c>
      <c r="D13" t="str">
        <v>Operating expenses as % of revenue</v>
      </c>
    </row>
    <row r="14">
      <c r="C14">
        <v>0.035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Revenue Build ($)</v>
      </c>
      <c r="B1" t="str">
        <v>Year 1</v>
      </c>
      <c r="C1" t="str">
        <v>Year 2</v>
      </c>
      <c r="D1" t="str">
        <v>Year 3</v>
      </c>
      <c r="E1" t="str">
        <v>Year 4</v>
      </c>
      <c r="F1" t="str">
        <v>Year 5</v>
      </c>
    </row>
    <row r="2">
      <c r="A2" t="str">
        <v>Prior Year Revenue</v>
      </c>
      <c r="B2">
        <v>100000000</v>
      </c>
    </row>
    <row r="3">
      <c r="A3" t="str">
        <v>Revenue</v>
      </c>
      <c r="B3">
        <f>B2*(1+Assumptions!B3)</f>
        <v>112000000</v>
      </c>
      <c r="C3">
        <f>B3*(1+Assumptions!B3)</f>
        <v>125440000</v>
      </c>
      <c r="D3">
        <v>627200000</v>
      </c>
      <c r="E3">
        <f>D3*1.08</f>
        <v>677376000</v>
      </c>
      <c r="F3">
        <f>E3*(1+Assumptions!B3)</f>
        <v>176234168</v>
      </c>
    </row>
    <row r="4">
      <c r="A4" t="str">
        <v>Cost of Goods Sold</v>
      </c>
      <c r="B4">
        <f>B3*Assumptions!B12</f>
        <v>42560000</v>
      </c>
      <c r="C4">
        <f>C3*Assumptions!B12</f>
        <v>47667200</v>
      </c>
      <c r="D4">
        <f>D3*Assumptions!B12</f>
        <v>53387264</v>
      </c>
      <c r="E4">
        <f>E3*Assumptions!B12</f>
        <v>59793736</v>
      </c>
      <c r="F4">
        <f>F3*Assumptions!B12</f>
        <v>66968984</v>
      </c>
    </row>
    <row r="5">
      <c r="A5" t="str">
        <v>Gross Profit</v>
      </c>
      <c r="B5">
        <f>B3-B4</f>
        <v>69440000</v>
      </c>
      <c r="C5">
        <f>C3-C4</f>
        <v>77772800</v>
      </c>
      <c r="D5">
        <f>D3-D4</f>
        <v>87105536</v>
      </c>
      <c r="E5">
        <f>E3-E4</f>
        <v>97558200</v>
      </c>
      <c r="F5">
        <f>F3-F4</f>
        <v>109265184</v>
      </c>
    </row>
    <row r="6">
      <c r="A6" t="str">
        <v>Operating Expenses</v>
      </c>
      <c r="B6">
        <f>B3*Assumptions!B13</f>
        <v>38080000</v>
      </c>
      <c r="C6">
        <f>C3*Assumptions!B13</f>
        <v>42649600</v>
      </c>
      <c r="D6">
        <f>D3*Assumptions!B13</f>
        <v>47767552</v>
      </c>
      <c r="E6">
        <f>E3*Assumptions!B13</f>
        <v>53499658</v>
      </c>
      <c r="F6">
        <f>F3*Assumptions!B13</f>
        <v>59919617</v>
      </c>
    </row>
    <row r="7">
      <c r="A7" t="str">
        <v>EBITDA</v>
      </c>
      <c r="B7">
        <f>B3*Assumptions!B4</f>
        <v>31360000</v>
      </c>
      <c r="C7">
        <f>C3*Assumptions!B4</f>
        <v>35123200</v>
      </c>
      <c r="D7">
        <f>D5+D6</f>
        <v>39337984</v>
      </c>
      <c r="E7">
        <f>E3*Assumptions!B4</f>
        <v>44058542</v>
      </c>
      <c r="F7">
        <f>F3*Assumptions!B4</f>
        <v>49345567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Discounted Cash Flow ($)</v>
      </c>
      <c r="B1" t="str">
        <v>Year 1</v>
      </c>
      <c r="C1" t="str">
        <v>Year 2</v>
      </c>
      <c r="D1" t="str">
        <v>Year 3</v>
      </c>
      <c r="E1" t="str">
        <v>Year 4</v>
      </c>
      <c r="F1" t="str">
        <v>Year 5</v>
      </c>
      <c r="H1" t="str">
        <v>Terminal Value</v>
      </c>
    </row>
    <row r="2">
      <c r="A2" t="str">
        <v>EBITDA</v>
      </c>
      <c r="B2">
        <f>'Revenue Build'!B7</f>
        <v>31360000</v>
      </c>
      <c r="C2">
        <f>'Revenue Build'!C7</f>
        <v>35123200</v>
      </c>
      <c r="D2">
        <f>'Revenue Build'!D7</f>
        <v>39337984</v>
      </c>
      <c r="E2">
        <f>'Revenue Build'!E7</f>
        <v>44058542</v>
      </c>
      <c r="F2">
        <f>'Revenue Build'!F7</f>
        <v>49345567</v>
      </c>
      <c r="H2" t="str">
        <v>Terminal FCF (Year 5 * (1+TGR))</v>
      </c>
      <c r="I2">
        <f>F6*(1+Assumptions!B7)</f>
        <v>27354060</v>
      </c>
    </row>
    <row r="3">
      <c r="A3" t="str">
        <v>Less: Capex</v>
      </c>
      <c r="B3">
        <f>'Revenue Build'!B3*Assumptions!B8</f>
        <v>5600000</v>
      </c>
      <c r="C3">
        <f>'Revenue Build'!C3*Assumptions!B8</f>
        <v>6272000</v>
      </c>
      <c r="D3">
        <f>'Revenue Build'!D3*Assumptions!B8</f>
        <v>7024640</v>
      </c>
      <c r="E3">
        <f>'Revenue Build'!E3*Assumptions!B8</f>
        <v>7867597</v>
      </c>
      <c r="F3">
        <f>'Revenue Build'!F3*Assumptions!B8</f>
        <v>8811708</v>
      </c>
      <c r="H3" t="str">
        <v>Gordon Growth Terminal Value</v>
      </c>
      <c r="I3">
        <f>I2/(Assumptions!B6-Assumptions!B7)</f>
        <v>364720803</v>
      </c>
    </row>
    <row r="4">
      <c r="A4" t="str">
        <v>Less: Change in NWC</v>
      </c>
      <c r="B4">
        <f>('Revenue Build'!B3-'Revenue Build'!B2)*Assumptions!B9</f>
        <v>960000</v>
      </c>
      <c r="C4">
        <f>('Revenue Build'!C3-'Revenue Build'!B3)*Assumptions!B9</f>
        <v>1075200</v>
      </c>
      <c r="D4">
        <f>D6*0.12</f>
        <v>1204224</v>
      </c>
      <c r="E4">
        <f>('Revenue Build'!E3-'Revenue Build'!D3)*Assumptions!B9</f>
        <v>1348731</v>
      </c>
      <c r="F4">
        <f>('Revenue Build'!F3-'Revenue Build'!E3)*Assumptions!B9</f>
        <v>1510579</v>
      </c>
      <c r="H4" t="str">
        <v>PV of Terminal Value</v>
      </c>
      <c r="I4">
        <f>I3*F7</f>
        <v>226462924</v>
      </c>
    </row>
    <row r="5">
      <c r="A5" t="str">
        <v>Less: Taxes</v>
      </c>
      <c r="B5">
        <v>7840000</v>
      </c>
      <c r="C5">
        <v>8780800</v>
      </c>
      <c r="D5">
        <v>9834496</v>
      </c>
      <c r="E5">
        <v>11014636</v>
      </c>
      <c r="F5">
        <v>12336392</v>
      </c>
      <c r="H5" t="str">
        <v>Sum of PV(FCF)</v>
      </c>
      <c r="I5">
        <f>SUM(B8:F8)</f>
        <v>79945648</v>
      </c>
    </row>
    <row r="6">
      <c r="A6" t="str">
        <v>Free Cash Flow</v>
      </c>
      <c r="B6">
        <f>B2-B3-B4-B5</f>
        <v>16960000</v>
      </c>
      <c r="C6">
        <f>C2-C3-C4-C5</f>
        <v>18995200</v>
      </c>
      <c r="D6">
        <f>D2-D3-D4-D5</f>
        <v>21274624</v>
      </c>
      <c r="E6">
        <f>E2-E3-E4-E5</f>
        <v>23827578</v>
      </c>
      <c r="F6">
        <f>F2-F3-F4-F5</f>
        <v>26686888</v>
      </c>
      <c r="H6" t="str">
        <v>Enterprise Value</v>
      </c>
      <c r="I6">
        <f>I4+I5</f>
        <v>306408572</v>
      </c>
    </row>
    <row r="7">
      <c r="A7" t="str">
        <v>Discount Factor</v>
      </c>
      <c r="B7">
        <f>1/(1+Assumptions!B6)^B9</f>
        <v>0.909091</v>
      </c>
      <c r="C7">
        <f>1/(1+Assumptions!B6)^C9</f>
        <v>0.826446</v>
      </c>
      <c r="D7">
        <f>1/(1+Assumptions!B6)^D9</f>
        <v>0.751315</v>
      </c>
      <c r="E7">
        <f>1/(1+Assumptions!B6)^E9</f>
        <v>0.683013</v>
      </c>
      <c r="F7">
        <f>1/(1+Assumptions!B6)^F9</f>
        <v>0.620921</v>
      </c>
    </row>
    <row r="8">
      <c r="A8" t="str">
        <v>PV of Free Cash Flow</v>
      </c>
      <c r="B8">
        <f>B6*B7</f>
        <v>15418182</v>
      </c>
      <c r="C8">
        <f>C6*C7</f>
        <v>15698512</v>
      </c>
      <c r="D8">
        <f>D6*D7</f>
        <v>15983940</v>
      </c>
      <c r="E8">
        <f>E6*E7</f>
        <v>16274556</v>
      </c>
      <c r="F8">
        <f>F6*F7</f>
        <v>16570458</v>
      </c>
    </row>
    <row r="9">
      <c r="A9" t="str">
        <v>Year Index</v>
      </c>
      <c r="B9">
        <v>1</v>
      </c>
      <c r="C9">
        <v>2</v>
      </c>
      <c r="D9">
        <v>3</v>
      </c>
      <c r="E9">
        <v>4</v>
      </c>
      <c r="F9">
        <v>5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Output Summary</v>
      </c>
      <c r="B1" t="str">
        <v>Value ($)</v>
      </c>
      <c r="C1" t="str">
        <v>Notes</v>
      </c>
    </row>
    <row r="2">
      <c r="A2" t="str">
        <v>Enterprise Value</v>
      </c>
      <c r="B2">
        <f>DCF!I6</f>
        <v>306408575</v>
      </c>
      <c r="C2" t="str">
        <v>NPV of FCFs + PV of Terminal Value</v>
      </c>
    </row>
    <row r="3">
      <c r="A3" t="str">
        <v>Less: Net Debt</v>
      </c>
    </row>
    <row r="4">
      <c r="A4" t="str">
        <v>Equity Value</v>
      </c>
      <c r="B4">
        <f>B2-B3</f>
        <v>294408575</v>
      </c>
      <c r="C4" t="str">
        <v>Enterprise Value minus Net Debt</v>
      </c>
    </row>
    <row r="5">
      <c r="A5" t="str">
        <v>Shares Outstanding</v>
      </c>
      <c r="B5">
        <f>Assumptions!B11</f>
        <v>25000000</v>
      </c>
      <c r="C5" t="str">
        <v>Fully diluted; from Assumptions</v>
      </c>
    </row>
    <row r="6">
      <c r="A6" t="str">
        <v>Implied Share Price</v>
      </c>
      <c r="B6">
        <f>B4/B5</f>
        <v>11.78</v>
      </c>
      <c r="C6" t="str">
        <v>Equity Value ÷ Diluted Shares</v>
      </c>
    </row>
    <row r="8">
      <c r="A8" t="str">
        <v>Sensitivity Note</v>
      </c>
      <c r="B8" t="str">
        <v>+/- 1% WACC changes implied price by approx. $1.77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Revenue Build</vt:lpstr>
      <vt:lpstr>DCF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